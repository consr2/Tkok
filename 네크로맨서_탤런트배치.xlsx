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탤런트" sheetId="1" state="visible" r:id="rId1"/>
    <sheet name="격자" sheetId="2" state="visible" r:id="rId2"/>
    <sheet name="읽어보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  <font>
      <b val="1"/>
    </font>
    <font>
      <color rgb="00808080"/>
      <sz val="9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595959"/>
      </patternFill>
    </fill>
    <fill>
      <patternFill patternType="solid">
        <fgColor rgb="00FFF2CC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6" customWidth="1" min="3" max="3"/>
    <col width="8" customWidth="1" min="4" max="4"/>
    <col width="7" customWidth="1" min="5" max="5"/>
    <col width="9" customWidth="1" min="6" max="6"/>
    <col width="8" customWidth="1" min="7" max="7"/>
    <col width="6" customWidth="1" min="8" max="8"/>
    <col width="6" customWidth="1" min="9" max="9"/>
    <col width="8" customWidth="1" min="10" max="10"/>
    <col width="90" customWidth="1" min="11" max="11"/>
  </cols>
  <sheetData>
    <row r="1">
      <c r="A1" s="1" t="inlineStr">
        <is>
          <t>칸</t>
        </is>
      </c>
      <c r="B1" s="1" t="inlineStr">
        <is>
          <t>이름</t>
        </is>
      </c>
      <c r="C1" s="1" t="inlineStr">
        <is>
          <t>최대</t>
        </is>
      </c>
      <c r="D1" s="1" t="inlineStr">
        <is>
          <t>요구렙</t>
        </is>
      </c>
      <c r="E1" s="1" t="inlineStr">
        <is>
          <t>선행</t>
        </is>
      </c>
      <c r="F1" s="1" t="inlineStr">
        <is>
          <t>종류</t>
        </is>
      </c>
      <c r="G1" s="1" t="inlineStr">
        <is>
          <t>기둥</t>
        </is>
      </c>
      <c r="H1" s="1" t="inlineStr">
        <is>
          <t>행</t>
        </is>
      </c>
      <c r="I1" s="1" t="inlineStr">
        <is>
          <t>열</t>
        </is>
      </c>
      <c r="J1" s="1" t="inlineStr">
        <is>
          <t>중복</t>
        </is>
      </c>
      <c r="K1" s="1" t="inlineStr">
        <is>
          <t>설명</t>
        </is>
      </c>
    </row>
    <row r="2">
      <c r="A2" s="2" t="n">
        <v>0</v>
      </c>
      <c r="B2" s="3" t="inlineStr">
        <is>
          <t>Death Attack</t>
        </is>
      </c>
      <c r="C2" s="4" t="n">
        <v>1</v>
      </c>
      <c r="D2" s="4" t="n">
        <v>1</v>
      </c>
      <c r="E2" s="2" t="n"/>
      <c r="F2" s="3" t="inlineStr">
        <is>
          <t>★스킬</t>
        </is>
      </c>
      <c r="G2" s="5">
        <f>IF(A2="","",IF(A2&lt;15,"좌측",IF(A2&lt;30,"중간","우측")))</f>
        <v/>
      </c>
      <c r="H2" s="5">
        <f>IF(A2="","",INT(MOD(A2,15)/3))</f>
        <v/>
      </c>
      <c r="I2" s="5">
        <f>IF(A2="","",MOD(A2,3))</f>
        <v/>
      </c>
      <c r="J2" s="6">
        <f>IF(A2="","",IF(COUNTIF(A:A,A2)&gt;1,"중복!",""))</f>
        <v/>
      </c>
      <c r="K2" s="3" t="inlineStr">
        <is>
          <t>Death Attack 습득: 단일 대상에게 어둠의 피해를 준다.^피해 = 19 + 스펠파워 x 0.74</t>
        </is>
      </c>
    </row>
    <row r="3">
      <c r="A3" s="2" t="n">
        <v>1</v>
      </c>
      <c r="B3" s="3" t="inlineStr">
        <is>
          <t>Death Light</t>
        </is>
      </c>
      <c r="C3" s="4" t="n">
        <v>1</v>
      </c>
      <c r="D3" s="4" t="n">
        <v>1</v>
      </c>
      <c r="E3" s="2" t="n"/>
      <c r="F3" s="3" t="inlineStr">
        <is>
          <t>★스킬</t>
        </is>
      </c>
      <c r="G3" s="5">
        <f>IF(A3="","",IF(A3&lt;15,"좌측",IF(A3&lt;30,"중간","우측")))</f>
        <v/>
      </c>
      <c r="H3" s="5">
        <f>IF(A3="","",INT(MOD(A3,15)/3))</f>
        <v/>
      </c>
      <c r="I3" s="5">
        <f>IF(A3="","",MOD(A3,3))</f>
        <v/>
      </c>
      <c r="J3" s="6">
        <f>IF(A3="","",IF(COUNTIF(A:A,A3)&gt;1,"중복!",""))</f>
        <v/>
      </c>
      <c r="K3" s="3" t="inlineStr">
        <is>
          <t>Death Light 습득: 지정한 지점에 죽음의 빛을 내린다.^0.25초마다 4번, 반경 300 안의 적 전원에게 피해를 준다.^틱당 피해 = (25 + 스펠파워 x 1.3) x 0.25^반경은 Phantom Mastery 배율을 같이 받는다.</t>
        </is>
      </c>
    </row>
    <row r="4">
      <c r="A4" s="2" t="n">
        <v>2</v>
      </c>
      <c r="B4" s="3" t="inlineStr">
        <is>
          <t>Undead Fly</t>
        </is>
      </c>
      <c r="C4" s="4" t="n">
        <v>1</v>
      </c>
      <c r="D4" s="4" t="n">
        <v>2</v>
      </c>
      <c r="E4" s="2" t="n"/>
      <c r="F4" s="3" t="inlineStr">
        <is>
          <t>★스킬</t>
        </is>
      </c>
      <c r="G4" s="5">
        <f>IF(A4="","",IF(A4&lt;15,"좌측",IF(A4&lt;30,"중간","우측")))</f>
        <v/>
      </c>
      <c r="H4" s="5">
        <f>IF(A4="","",INT(MOD(A4,15)/3))</f>
        <v/>
      </c>
      <c r="I4" s="5">
        <f>IF(A4="","",MOD(A4,3))</f>
        <v/>
      </c>
      <c r="J4" s="6">
        <f>IF(A4="","",IF(COUNTIF(A:A,A4)&gt;1,"중복!",""))</f>
        <v/>
      </c>
      <c r="K4" s="3" t="inlineStr">
        <is>
          <t>Undead Fly 습득: 언데드 파리 10마리를 불러내 6초간 주위를 배회하게 한다.^파리마다 1초에 한 번, 반경 150 안의 적 전원을 때린다.^히트당 피해 = 7 + 스펠파워 x 0.072^시전자에게서 1000 이상 멀어지면 사라진다.</t>
        </is>
      </c>
    </row>
    <row r="5">
      <c r="A5" s="2" t="n">
        <v>3</v>
      </c>
      <c r="B5" s="3" t="inlineStr">
        <is>
          <t>Improved Death Attack</t>
        </is>
      </c>
      <c r="C5" s="4" t="n">
        <v>2</v>
      </c>
      <c r="D5" s="4" t="n">
        <v>2</v>
      </c>
      <c r="E5" s="2" t="n">
        <v>0</v>
      </c>
      <c r="F5" s="3" t="inlineStr">
        <is>
          <t>패시브</t>
        </is>
      </c>
      <c r="G5" s="5">
        <f>IF(A5="","",IF(A5&lt;15,"좌측",IF(A5&lt;30,"중간","우측")))</f>
        <v/>
      </c>
      <c r="H5" s="5">
        <f>IF(A5="","",INT(MOD(A5,15)/3))</f>
        <v/>
      </c>
      <c r="I5" s="5">
        <f>IF(A5="","",MOD(A5,3))</f>
        <v/>
      </c>
      <c r="J5" s="6">
        <f>IF(A5="","",IF(COUNTIF(A:A,A5)&gt;1,"중복!",""))</f>
        <v/>
      </c>
      <c r="K5" s="3" t="inlineStr">
        <is>
          <t>Death Attack 이 대상에게 공포 인장을 남긴다.^인장이 붙은 적은 받는 주문 피해가 *0/5/10*% 늘어난다.^인장은 3초 유지되고 Phantom Mastery 배율을 같이 받는다.</t>
        </is>
      </c>
    </row>
    <row r="6">
      <c r="A6" s="2" t="n">
        <v>4</v>
      </c>
      <c r="B6" s="3" t="inlineStr">
        <is>
          <t>Improved Death Light</t>
        </is>
      </c>
      <c r="C6" s="4" t="n">
        <v>1</v>
      </c>
      <c r="D6" s="4" t="n">
        <v>2</v>
      </c>
      <c r="E6" s="2" t="n">
        <v>1</v>
      </c>
      <c r="F6" s="3" t="inlineStr">
        <is>
          <t>패시브</t>
        </is>
      </c>
      <c r="G6" s="5">
        <f>IF(A6="","",IF(A6&lt;15,"좌측",IF(A6&lt;30,"중간","우측")))</f>
        <v/>
      </c>
      <c r="H6" s="5">
        <f>IF(A6="","",INT(MOD(A6,15)/3))</f>
        <v/>
      </c>
      <c r="I6" s="5">
        <f>IF(A6="","",MOD(A6,3))</f>
        <v/>
      </c>
      <c r="J6" s="6">
        <f>IF(A6="","",IF(COUNTIF(A:A,A6)&gt;1,"중복!",""))</f>
        <v/>
      </c>
      <c r="K6" s="3" t="inlineStr">
        <is>
          <t>Death Light 가 공포 인장이 붙은 적에게 30% 더 큰 피해를 준다.</t>
        </is>
      </c>
    </row>
    <row r="7">
      <c r="A7" s="2" t="n">
        <v>5</v>
      </c>
      <c r="B7" s="3" t="inlineStr">
        <is>
          <t>Improved Undead Fly</t>
        </is>
      </c>
      <c r="C7" s="4" t="n">
        <v>3</v>
      </c>
      <c r="D7" s="4" t="n">
        <v>4</v>
      </c>
      <c r="E7" s="2" t="n">
        <v>2</v>
      </c>
      <c r="F7" s="3" t="inlineStr">
        <is>
          <t>패시브</t>
        </is>
      </c>
      <c r="G7" s="5">
        <f>IF(A7="","",IF(A7&lt;15,"좌측",IF(A7&lt;30,"중간","우측")))</f>
        <v/>
      </c>
      <c r="H7" s="5">
        <f>IF(A7="","",INT(MOD(A7,15)/3))</f>
        <v/>
      </c>
      <c r="I7" s="5">
        <f>IF(A7="","",MOD(A7,3))</f>
        <v/>
      </c>
      <c r="J7" s="6">
        <f>IF(A7="","",IF(COUNTIF(A:A,A7)&gt;1,"중복!",""))</f>
        <v/>
      </c>
      <c r="K7" s="3" t="inlineStr">
        <is>
          <t>Undead Fly 의 지속 시간이 *6/8/10/12* 초가 된다.^파리 수와 타격 주기는 그대로다.</t>
        </is>
      </c>
    </row>
    <row r="8">
      <c r="A8" s="2" t="n">
        <v>6</v>
      </c>
      <c r="B8" s="3" t="inlineStr">
        <is>
          <t>Empowered Death Light</t>
        </is>
      </c>
      <c r="C8" s="4" t="n">
        <v>3</v>
      </c>
      <c r="D8" s="4" t="n">
        <v>22</v>
      </c>
      <c r="E8" s="2" t="n">
        <v>4</v>
      </c>
      <c r="F8" s="3" t="inlineStr">
        <is>
          <t>패시브</t>
        </is>
      </c>
      <c r="G8" s="5">
        <f>IF(A8="","",IF(A8&lt;15,"좌측",IF(A8&lt;30,"중간","우측")))</f>
        <v/>
      </c>
      <c r="H8" s="5">
        <f>IF(A8="","",INT(MOD(A8,15)/3))</f>
        <v/>
      </c>
      <c r="I8" s="5">
        <f>IF(A8="","",MOD(A8,3))</f>
        <v/>
      </c>
      <c r="J8" s="6">
        <f>IF(A8="","",IF(COUNTIF(A:A,A8)&gt;1,"중복!",""))</f>
        <v/>
      </c>
      <c r="K8" s="3" t="inlineStr">
        <is>
          <t>Death Light 에 맞은 적이 주는 주문 피해가 *0/7/14/21*% 줄어든다. 5초 유지.^같은 동안 범위 안 자기 해골 전사의 평타에 피해가 더해진다.^추가 피해 = Necrosummon 공격력 x *0/5/10/15*%</t>
        </is>
      </c>
    </row>
    <row r="9">
      <c r="A9" s="2" t="n">
        <v>7</v>
      </c>
      <c r="B9" s="3" t="inlineStr">
        <is>
          <t>Necrosummon</t>
        </is>
      </c>
      <c r="C9" s="4" t="n">
        <v>1</v>
      </c>
      <c r="D9" s="4" t="n">
        <v>4</v>
      </c>
      <c r="E9" s="2" t="n"/>
      <c r="F9" s="3" t="inlineStr">
        <is>
          <t>★스킬</t>
        </is>
      </c>
      <c r="G9" s="5">
        <f>IF(A9="","",IF(A9&lt;15,"좌측",IF(A9&lt;30,"중간","우측")))</f>
        <v/>
      </c>
      <c r="H9" s="5">
        <f>IF(A9="","",INT(MOD(A9,15)/3))</f>
        <v/>
      </c>
      <c r="I9" s="5">
        <f>IF(A9="","",MOD(A9,3))</f>
        <v/>
      </c>
      <c r="J9" s="6">
        <f>IF(A9="","",IF(COUNTIF(A:A,A9)&gt;1,"중복!",""))</f>
        <v/>
      </c>
      <c r="K9" s="3" t="inlineStr">
        <is>
          <t>Necrosummon 습득: 지정한 지점에 사령을 불러낸다.^30초간 무적으로 싸우며, 공격력은 스펠파워의 35%에 종류별 배율을 곱한 값이다.^기본 = 해골 전사 x1.0 · 해골 마법사 x0.8 · 해골 궁수 x0.9 (치명타 20%)</t>
        </is>
      </c>
    </row>
    <row r="10">
      <c r="A10" s="2" t="n">
        <v>8</v>
      </c>
      <c r="B10" s="3" t="inlineStr">
        <is>
          <t>Empowered Undead Fly</t>
        </is>
      </c>
      <c r="C10" s="4" t="n">
        <v>3</v>
      </c>
      <c r="D10" s="4" t="n">
        <v>26</v>
      </c>
      <c r="E10" s="2" t="n">
        <v>5</v>
      </c>
      <c r="F10" s="3" t="inlineStr">
        <is>
          <t>패시브</t>
        </is>
      </c>
      <c r="G10" s="5">
        <f>IF(A10="","",IF(A10&lt;15,"좌측",IF(A10&lt;30,"중간","우측")))</f>
        <v/>
      </c>
      <c r="H10" s="5">
        <f>IF(A10="","",INT(MOD(A10,15)/3))</f>
        <v/>
      </c>
      <c r="I10" s="5">
        <f>IF(A10="","",MOD(A10,3))</f>
        <v/>
      </c>
      <c r="J10" s="6">
        <f>IF(A10="","",IF(COUNTIF(A:A,A10)&gt;1,"중복!",""))</f>
        <v/>
      </c>
      <c r="K10" s="3" t="inlineStr">
        <is>
          <t>파리의 피해가 *0/10/20/30*% 늘어난다.^기절하는 적은 *0/10/20/30*% 확률로 1초간 기절하고,^기절 안 하는 적에게는 대신 *0/8/16/24*% 를 더 준다.</t>
        </is>
      </c>
    </row>
    <row r="11">
      <c r="A11" s="2" t="n">
        <v>9</v>
      </c>
      <c r="B11" s="3" t="inlineStr">
        <is>
          <t>Karma</t>
        </is>
      </c>
      <c r="C11" s="4" t="n">
        <v>1</v>
      </c>
      <c r="D11" s="4" t="n">
        <v>16</v>
      </c>
      <c r="E11" s="2" t="n"/>
      <c r="F11" s="3" t="inlineStr">
        <is>
          <t>★스킬</t>
        </is>
      </c>
      <c r="G11" s="5">
        <f>IF(A11="","",IF(A11&lt;15,"좌측",IF(A11&lt;30,"중간","우측")))</f>
        <v/>
      </c>
      <c r="H11" s="5">
        <f>IF(A11="","",INT(MOD(A11,15)/3))</f>
        <v/>
      </c>
      <c r="I11" s="5">
        <f>IF(A11="","",MOD(A11,3))</f>
        <v/>
      </c>
      <c r="J11" s="6">
        <f>IF(A11="","",IF(COUNTIF(A:A,A11)&gt;1,"중복!",""))</f>
        <v/>
      </c>
      <c r="K11" s="3" t="inlineStr">
        <is>
          <t>Karma 습득: 쓸 때마다 영혼을 하나 모은다. 최대 4.^영혼이 4 일 때 쓰면 전부 흩어지며 자기 둘레 반경 400 의 적을 친다.^영혼 한 몫 피해 = 18 + 스펠파워 x 1.0 (터질 때 4 몫)</t>
        </is>
      </c>
    </row>
    <row r="12">
      <c r="A12" s="2" t="n">
        <v>10</v>
      </c>
      <c r="B12" s="3" t="inlineStr">
        <is>
          <t>Improved Necrosummon</t>
        </is>
      </c>
      <c r="C12" s="4" t="n">
        <v>3</v>
      </c>
      <c r="D12" s="4" t="n">
        <v>8</v>
      </c>
      <c r="E12" s="2" t="n">
        <v>7</v>
      </c>
      <c r="F12" s="3" t="inlineStr">
        <is>
          <t>패시브</t>
        </is>
      </c>
      <c r="G12" s="5">
        <f>IF(A12="","",IF(A12&lt;15,"좌측",IF(A12&lt;30,"중간","우측")))</f>
        <v/>
      </c>
      <c r="H12" s="5">
        <f>IF(A12="","",INT(MOD(A12,15)/3))</f>
        <v/>
      </c>
      <c r="I12" s="5">
        <f>IF(A12="","",MOD(A12,3))</f>
        <v/>
      </c>
      <c r="J12" s="6">
        <f>IF(A12="","",IF(COUNTIF(A:A,A12)&gt;1,"중복!",""))</f>
        <v/>
      </c>
      <c r="K12" s="3" t="inlineStr">
        <is>
          <t>Necrosummon 이 불러내는 해골이 *1/2/3/4* 마리가 된다.</t>
        </is>
      </c>
    </row>
    <row r="13">
      <c r="A13" s="2" t="n">
        <v>11</v>
      </c>
      <c r="B13" s="3" t="inlineStr">
        <is>
          <t>Soul Sacrifice</t>
        </is>
      </c>
      <c r="C13" s="4" t="n">
        <v>1</v>
      </c>
      <c r="D13" s="4" t="n">
        <v>20</v>
      </c>
      <c r="E13" s="2" t="n">
        <v>7</v>
      </c>
      <c r="F13" s="3" t="inlineStr">
        <is>
          <t>★스킬</t>
        </is>
      </c>
      <c r="G13" s="5">
        <f>IF(A13="","",IF(A13&lt;15,"좌측",IF(A13&lt;30,"중간","우측")))</f>
        <v/>
      </c>
      <c r="H13" s="5">
        <f>IF(A13="","",INT(MOD(A13,15)/3))</f>
        <v/>
      </c>
      <c r="I13" s="5">
        <f>IF(A13="","",MOD(A13,3))</f>
        <v/>
      </c>
      <c r="J13" s="6">
        <f>IF(A13="","",IF(COUNTIF(A:A,A13)&gt;1,"중복!",""))</f>
        <v/>
      </c>
      <c r="K13" s="3" t="inlineStr">
        <is>
          <t>Soul Sacrifice 습득: 자기 사령 하나를 제물로 바쳐 그 자리 반경 200 의 적에게 큰 피해를 준다.^피해 = 30 + 스펠파워 x 2.0^Necrosummon 이 있어야 쓸 수 있다.</t>
        </is>
      </c>
    </row>
    <row r="14">
      <c r="A14" s="2" t="n">
        <v>12</v>
      </c>
      <c r="B14" s="3" t="inlineStr">
        <is>
          <t>Improved Karma</t>
        </is>
      </c>
      <c r="C14" s="4" t="n">
        <v>3</v>
      </c>
      <c r="D14" s="4" t="n">
        <v>24</v>
      </c>
      <c r="E14" s="2" t="n">
        <v>9</v>
      </c>
      <c r="F14" s="3" t="inlineStr">
        <is>
          <t>패시브</t>
        </is>
      </c>
      <c r="G14" s="5">
        <f>IF(A14="","",IF(A14&lt;15,"좌측",IF(A14&lt;30,"중간","우측")))</f>
        <v/>
      </c>
      <c r="H14" s="5">
        <f>IF(A14="","",INT(MOD(A14,15)/3))</f>
        <v/>
      </c>
      <c r="I14" s="5">
        <f>IF(A14="","",MOD(A14,3))</f>
        <v/>
      </c>
      <c r="J14" s="6">
        <f>IF(A14="","",IF(COUNTIF(A:A,A14)&gt;1,"중복!",""))</f>
        <v/>
      </c>
      <c r="K14" s="3" t="inlineStr">
        <is>
          <t>Karma 의 영혼이 주는 피해가 *0/12/24/36*% 늘어난다.</t>
        </is>
      </c>
    </row>
    <row r="15">
      <c r="A15" s="2" t="n">
        <v>14</v>
      </c>
      <c r="B15" s="3" t="inlineStr">
        <is>
          <t>Improved Soul Sacrifice</t>
        </is>
      </c>
      <c r="C15" s="4" t="n">
        <v>2</v>
      </c>
      <c r="D15" s="4" t="n">
        <v>28</v>
      </c>
      <c r="E15" s="2" t="n">
        <v>11</v>
      </c>
      <c r="F15" s="3" t="inlineStr">
        <is>
          <t>패시브</t>
        </is>
      </c>
      <c r="G15" s="5">
        <f>IF(A15="","",IF(A15&lt;15,"좌측",IF(A15&lt;30,"중간","우측")))</f>
        <v/>
      </c>
      <c r="H15" s="5">
        <f>IF(A15="","",INT(MOD(A15,15)/3))</f>
        <v/>
      </c>
      <c r="I15" s="5">
        <f>IF(A15="","",MOD(A15,3))</f>
        <v/>
      </c>
      <c r="J15" s="6">
        <f>IF(A15="","",IF(COUNTIF(A:A,A15)&gt;1,"중복!",""))</f>
        <v/>
      </c>
      <c r="K15" s="3" t="inlineStr">
        <is>
          <t>Soul Sacrifice 에 맞은 적이 3초간 매초 지속 피해를 받는다.^틱당 피해 = Soul Sacrifice 피해 x *0/20/40*%</t>
        </is>
      </c>
    </row>
    <row r="16">
      <c r="A16" s="2" t="n">
        <v>15</v>
      </c>
      <c r="B16" s="3" t="inlineStr">
        <is>
          <t>Death Wisper</t>
        </is>
      </c>
      <c r="C16" s="4" t="n">
        <v>3</v>
      </c>
      <c r="D16" s="4" t="n">
        <v>2</v>
      </c>
      <c r="E16" s="2" t="n"/>
      <c r="F16" s="3" t="inlineStr">
        <is>
          <t>패시브</t>
        </is>
      </c>
      <c r="G16" s="5">
        <f>IF(A16="","",IF(A16&lt;15,"좌측",IF(A16&lt;30,"중간","우측")))</f>
        <v/>
      </c>
      <c r="H16" s="5">
        <f>IF(A16="","",INT(MOD(A16,15)/3))</f>
        <v/>
      </c>
      <c r="I16" s="5">
        <f>IF(A16="","",MOD(A16,3))</f>
        <v/>
      </c>
      <c r="J16" s="6">
        <f>IF(A16="","",IF(COUNTIF(A:A,A16)&gt;1,"중복!",""))</f>
        <v/>
      </c>
      <c r="K16" s="3" t="inlineStr">
        <is>
          <t>지능 1 당 스펠파워가 *0/0.1/0.2/0.3* 오른다.</t>
        </is>
      </c>
    </row>
    <row r="17">
      <c r="A17" s="2" t="n">
        <v>16</v>
      </c>
      <c r="B17" s="3" t="inlineStr">
        <is>
          <t>Soul Shock</t>
        </is>
      </c>
      <c r="C17" s="4" t="n">
        <v>2</v>
      </c>
      <c r="D17" s="4" t="n">
        <v>4</v>
      </c>
      <c r="E17" s="2" t="n"/>
      <c r="F17" s="3" t="inlineStr">
        <is>
          <t>패시브</t>
        </is>
      </c>
      <c r="G17" s="5">
        <f>IF(A17="","",IF(A17&lt;15,"좌측",IF(A17&lt;30,"중간","우측")))</f>
        <v/>
      </c>
      <c r="H17" s="5">
        <f>IF(A17="","",INT(MOD(A17,15)/3))</f>
        <v/>
      </c>
      <c r="I17" s="5">
        <f>IF(A17="","",MOD(A17,3))</f>
        <v/>
      </c>
      <c r="J17" s="6">
        <f>IF(A17="","",IF(COUNTIF(A:A,A17)&gt;1,"중복!",""))</f>
        <v/>
      </c>
      <c r="K17" s="3" t="inlineStr">
        <is>
          <t>레벨 1 당 주문 치명타 확률이 *0/0.075/0.15*,^주문 치명타 위력이 *0/0.3/0.6* 오른다.</t>
        </is>
      </c>
    </row>
    <row r="18">
      <c r="A18" s="2" t="n">
        <v>17</v>
      </c>
      <c r="B18" s="3" t="inlineStr">
        <is>
          <t>Soul Control</t>
        </is>
      </c>
      <c r="C18" s="4" t="n">
        <v>3</v>
      </c>
      <c r="D18" s="4" t="n">
        <v>12</v>
      </c>
      <c r="E18" s="2" t="n"/>
      <c r="F18" s="3" t="inlineStr">
        <is>
          <t>패시브</t>
        </is>
      </c>
      <c r="G18" s="5">
        <f>IF(A18="","",IF(A18&lt;15,"좌측",IF(A18&lt;30,"중간","우측")))</f>
        <v/>
      </c>
      <c r="H18" s="5">
        <f>IF(A18="","",INT(MOD(A18,15)/3))</f>
        <v/>
      </c>
      <c r="I18" s="5">
        <f>IF(A18="","",MOD(A18,3))</f>
        <v/>
      </c>
      <c r="J18" s="6">
        <f>IF(A18="","",IF(COUNTIF(A:A,A18)&gt;1,"중복!",""))</f>
        <v/>
      </c>
      <c r="K18" s="3" t="inlineStr">
        <is>
          <t>Necro Mastery 와 Phantom Mastery 의 배율이 포인트당 *0/13/26/39*% 더 오른다.</t>
        </is>
      </c>
    </row>
    <row r="19">
      <c r="A19" s="2" t="n">
        <v>18</v>
      </c>
      <c r="B19" s="3" t="inlineStr">
        <is>
          <t>Necro Mastery</t>
        </is>
      </c>
      <c r="C19" s="4" t="n">
        <v>1</v>
      </c>
      <c r="D19" s="4" t="n">
        <v>8</v>
      </c>
      <c r="E19" s="2" t="n"/>
      <c r="F19" s="3" t="inlineStr">
        <is>
          <t>패시브</t>
        </is>
      </c>
      <c r="G19" s="5">
        <f>IF(A19="","",IF(A19&lt;15,"좌측",IF(A19&lt;30,"중간","우측")))</f>
        <v/>
      </c>
      <c r="H19" s="5">
        <f>IF(A19="","",INT(MOD(A19,15)/3))</f>
        <v/>
      </c>
      <c r="I19" s="5">
        <f>IF(A19="","",MOD(A19,3))</f>
        <v/>
      </c>
      <c r="J19" s="6">
        <f>IF(A19="","",IF(COUNTIF(A:A,A19)&gt;1,"중복!",""))</f>
        <v/>
      </c>
      <c r="K19" s="3" t="inlineStr">
        <is>
          <t>Necrosummon · Karma · Soul Sacrifice 의 피해가 포인트 x (1 + 0.13 x Soul Control) x (1 + 레벨 x 0.004) 배가 된다.^배율이 1 을 넘을 때만 적용된다.</t>
        </is>
      </c>
    </row>
    <row r="20">
      <c r="A20" s="2" t="n">
        <v>19</v>
      </c>
      <c r="B20" s="3" t="inlineStr">
        <is>
          <t>Phantom Mastery</t>
        </is>
      </c>
      <c r="C20" s="4" t="n">
        <v>1</v>
      </c>
      <c r="D20" s="4" t="n">
        <v>8</v>
      </c>
      <c r="E20" s="2" t="n"/>
      <c r="F20" s="3" t="inlineStr">
        <is>
          <t>패시브</t>
        </is>
      </c>
      <c r="G20" s="5">
        <f>IF(A20="","",IF(A20&lt;15,"좌측",IF(A20&lt;30,"중간","우측")))</f>
        <v/>
      </c>
      <c r="H20" s="5">
        <f>IF(A20="","",INT(MOD(A20,15)/3))</f>
        <v/>
      </c>
      <c r="I20" s="5">
        <f>IF(A20="","",MOD(A20,3))</f>
        <v/>
      </c>
      <c r="J20" s="6">
        <f>IF(A20="","",IF(COUNTIF(A:A,A20)&gt;1,"중복!",""))</f>
        <v/>
      </c>
      <c r="K20" s="3" t="inlineStr">
        <is>
          <t>Death Attack · Death Light · Undead Fly 의 피해가 포인트 x (1 + 0.13 x Soul Control) x (1 + 레벨 x 0.004) 배가 된다.^배율이 1 을 넘을 때만 적용된다 (55레벨 = 약 1.22배).</t>
        </is>
      </c>
    </row>
    <row r="21">
      <c r="A21" s="2" t="n">
        <v>20</v>
      </c>
      <c r="B21" s="3" t="inlineStr">
        <is>
          <t>Be With Me</t>
        </is>
      </c>
      <c r="C21" s="4" t="n">
        <v>3</v>
      </c>
      <c r="D21" s="4" t="n">
        <v>40</v>
      </c>
      <c r="E21" s="2" t="n">
        <v>17</v>
      </c>
      <c r="F21" s="3" t="inlineStr">
        <is>
          <t>패시브</t>
        </is>
      </c>
      <c r="G21" s="5">
        <f>IF(A21="","",IF(A21&lt;15,"좌측",IF(A21&lt;30,"중간","우측")))</f>
        <v/>
      </c>
      <c r="H21" s="5">
        <f>IF(A21="","",INT(MOD(A21,15)/3))</f>
        <v/>
      </c>
      <c r="I21" s="5">
        <f>IF(A21="","",MOD(A21,3))</f>
        <v/>
      </c>
      <c r="J21" s="6">
        <f>IF(A21="","",IF(COUNTIF(A:A,A21)&gt;1,"중복!",""))</f>
        <v/>
      </c>
      <c r="K21" s="3" t="inlineStr">
        <is>
          <t>1포인트: Death Light 가 4번이 아니라 6번 때린다.^2포인트: Soul Sacrifice 반경이 2배가 된다.^3포인트: Undead Fly 의 파리가 10마리에서 15마리가 되고,^Necrosummon 의 상급 사령 확률이 10% 오른다.^Necro Mastery 를 배웠으면 Soul Sacrifice 가 포인트당 33% 확률로 해골을 한 마리 세운다.</t>
        </is>
      </c>
    </row>
    <row r="22">
      <c r="A22" s="2" t="n">
        <v>21</v>
      </c>
      <c r="B22" s="3" t="inlineStr">
        <is>
          <t>Empowered Death Attack</t>
        </is>
      </c>
      <c r="C22" s="4" t="n">
        <v>3</v>
      </c>
      <c r="D22" s="4" t="n">
        <v>16</v>
      </c>
      <c r="E22" s="2" t="n">
        <v>3</v>
      </c>
      <c r="F22" s="3" t="inlineStr">
        <is>
          <t>패시브</t>
        </is>
      </c>
      <c r="G22" s="5">
        <f>IF(A22="","",IF(A22&lt;15,"좌측",IF(A22&lt;30,"중간","우측")))</f>
        <v/>
      </c>
      <c r="H22" s="5">
        <f>IF(A22="","",INT(MOD(A22,15)/3))</f>
        <v/>
      </c>
      <c r="I22" s="5">
        <f>IF(A22="","",MOD(A22,3))</f>
        <v/>
      </c>
      <c r="J22" s="6">
        <f>IF(A22="","",IF(COUNTIF(A:A,A22)&gt;1,"중복!",""))</f>
        <v/>
      </c>
      <c r="K22" s="3" t="inlineStr">
        <is>
          <t>Death Attack 의 피해가 *0/15/30/45*% 증가한다.</t>
        </is>
      </c>
    </row>
    <row r="23">
      <c r="A23" s="2" t="n">
        <v>22</v>
      </c>
      <c r="B23" s="3" t="inlineStr">
        <is>
          <t>Empowered Necrosummon</t>
        </is>
      </c>
      <c r="C23" s="4" t="n">
        <v>3</v>
      </c>
      <c r="D23" s="4" t="n">
        <v>24</v>
      </c>
      <c r="E23" s="2" t="n">
        <v>10</v>
      </c>
      <c r="F23" s="3" t="inlineStr">
        <is>
          <t>패시브</t>
        </is>
      </c>
      <c r="G23" s="5">
        <f>IF(A23="","",IF(A23&lt;15,"좌측",IF(A23&lt;30,"중간","우측")))</f>
        <v/>
      </c>
      <c r="H23" s="5">
        <f>IF(A23="","",INT(MOD(A23,15)/3))</f>
        <v/>
      </c>
      <c r="I23" s="5">
        <f>IF(A23="","",MOD(A23,3))</f>
        <v/>
      </c>
      <c r="J23" s="6">
        <f>IF(A23="","",IF(COUNTIF(A:A,A23)&gt;1,"중복!",""))</f>
        <v/>
      </c>
      <c r="K23" s="3" t="inlineStr">
        <is>
          <t>Necrosummon 이 소환마다 *0/10/20/30*% 확률로 상급 사령을 부른다.^인페르날 x2.0 (매초 반경 220 에 공격력 45%) · 둠가드 x1.9 (치명타 20%) · 미트 왜건 x2.5</t>
        </is>
      </c>
    </row>
    <row r="24">
      <c r="A24" s="2" t="n">
        <v>24</v>
      </c>
      <c r="B24" s="3" t="inlineStr">
        <is>
          <t>Empowered Karma</t>
        </is>
      </c>
      <c r="C24" s="4" t="n">
        <v>3</v>
      </c>
      <c r="D24" s="4" t="n">
        <v>30</v>
      </c>
      <c r="E24" s="2" t="n">
        <v>12</v>
      </c>
      <c r="F24" s="3" t="inlineStr">
        <is>
          <t>패시브</t>
        </is>
      </c>
      <c r="G24" s="5">
        <f>IF(A24="","",IF(A24&lt;15,"좌측",IF(A24&lt;30,"중간","우측")))</f>
        <v/>
      </c>
      <c r="H24" s="5">
        <f>IF(A24="","",INT(MOD(A24,15)/3))</f>
        <v/>
      </c>
      <c r="I24" s="5">
        <f>IF(A24="","",MOD(A24,3))</f>
        <v/>
      </c>
      <c r="J24" s="6">
        <f>IF(A24="","",IF(COUNTIF(A:A,A24)&gt;1,"중복!",""))</f>
        <v/>
      </c>
      <c r="K24" s="3" t="inlineStr">
        <is>
          <t>Karma 를 한 번 쓸 때 모이는 영혼이 *1/2/3/4* 가 된다.</t>
        </is>
      </c>
    </row>
    <row r="25">
      <c r="A25" s="2" t="n">
        <v>26</v>
      </c>
      <c r="B25" s="3" t="inlineStr">
        <is>
          <t>Empowered Soul Sacrifice</t>
        </is>
      </c>
      <c r="C25" s="4" t="n">
        <v>1</v>
      </c>
      <c r="D25" s="4" t="n">
        <v>36</v>
      </c>
      <c r="E25" s="2" t="n">
        <v>11</v>
      </c>
      <c r="F25" s="3" t="inlineStr">
        <is>
          <t>패시브</t>
        </is>
      </c>
      <c r="G25" s="5">
        <f>IF(A25="","",IF(A25&lt;15,"좌측",IF(A25&lt;30,"중간","우측")))</f>
        <v/>
      </c>
      <c r="H25" s="5">
        <f>IF(A25="","",INT(MOD(A25,15)/3))</f>
        <v/>
      </c>
      <c r="I25" s="5">
        <f>IF(A25="","",MOD(A25,3))</f>
        <v/>
      </c>
      <c r="J25" s="6">
        <f>IF(A25="","",IF(COUNTIF(A:A,A25)&gt;1,"중복!",""))</f>
        <v/>
      </c>
      <c r="K25" s="3" t="inlineStr">
        <is>
          <t>Soul Sacrifice 가 제물을 소모하지 않는다.</t>
        </is>
      </c>
    </row>
    <row r="26">
      <c r="A26" s="2" t="n">
        <v>27</v>
      </c>
      <c r="B26" s="3" t="inlineStr">
        <is>
          <t>Death Unleashed</t>
        </is>
      </c>
      <c r="C26" s="4" t="n">
        <v>5</v>
      </c>
      <c r="D26" s="4" t="n">
        <v>50</v>
      </c>
      <c r="E26" s="2" t="n">
        <v>21</v>
      </c>
      <c r="F26" s="3" t="inlineStr">
        <is>
          <t>패시브</t>
        </is>
      </c>
      <c r="G26" s="5">
        <f>IF(A26="","",IF(A26&lt;15,"좌측",IF(A26&lt;30,"중간","우측")))</f>
        <v/>
      </c>
      <c r="H26" s="5">
        <f>IF(A26="","",INT(MOD(A26,15)/3))</f>
        <v/>
      </c>
      <c r="I26" s="5">
        <f>IF(A26="","",MOD(A26,3))</f>
        <v/>
      </c>
      <c r="J26" s="6">
        <f>IF(A26="","",IF(COUNTIF(A:A,A26)&gt;1,"중복!",""))</f>
        <v/>
      </c>
      <c r="K26" s="3" t="inlineStr">
        <is>
          <t>5포인트: Death Attack 이 20% 확률로 피해가 3배가 된다 (마나 10 소모).</t>
        </is>
      </c>
    </row>
    <row r="27">
      <c r="A27" s="2" t="n">
        <v>28</v>
      </c>
      <c r="B27" s="3" t="inlineStr">
        <is>
          <t>Netherworld Summon</t>
        </is>
      </c>
      <c r="C27" s="4" t="n">
        <v>5</v>
      </c>
      <c r="D27" s="4" t="n">
        <v>50</v>
      </c>
      <c r="E27" s="2" t="n">
        <v>22</v>
      </c>
      <c r="F27" s="3" t="inlineStr">
        <is>
          <t>패시브</t>
        </is>
      </c>
      <c r="G27" s="5">
        <f>IF(A27="","",IF(A27&lt;15,"좌측",IF(A27&lt;30,"중간","우측")))</f>
        <v/>
      </c>
      <c r="H27" s="5">
        <f>IF(A27="","",INT(MOD(A27,15)/3))</f>
        <v/>
      </c>
      <c r="I27" s="5">
        <f>IF(A27="","",MOD(A27,3))</f>
        <v/>
      </c>
      <c r="J27" s="6">
        <f>IF(A27="","",IF(COUNTIF(A:A,A27)&gt;1,"중복!",""))</f>
        <v/>
      </c>
      <c r="K27" s="3" t="inlineStr">
        <is>
          <t>Necrosummon 의 상급 사령 확률이 *0/5/10/15/20/25*% 오른다.^5포인트: 거기에 더해 소환마다 15% 확률로 최상급 사령을 부른다.^데스나이트 x4.0 (치명타 20% · 주위 아군 회복) · 리치 x3.2 ·^드레드로드 x3.2 (주위 아군에게 흡혈)</t>
        </is>
      </c>
    </row>
    <row r="28">
      <c r="A28" s="2" t="n">
        <v>30</v>
      </c>
      <c r="B28" s="3" t="inlineStr">
        <is>
          <t>Netherworld Darkness</t>
        </is>
      </c>
      <c r="C28" s="4" t="n">
        <v>5</v>
      </c>
      <c r="D28" s="4" t="n">
        <v>55</v>
      </c>
      <c r="E28" s="2" t="n">
        <v>1</v>
      </c>
      <c r="F28" s="3" t="inlineStr">
        <is>
          <t>55제</t>
        </is>
      </c>
      <c r="G28" s="5">
        <f>IF(A28="","",IF(A28&lt;15,"좌측",IF(A28&lt;30,"중간","우측")))</f>
        <v/>
      </c>
      <c r="H28" s="5">
        <f>IF(A28="","",INT(MOD(A28,15)/3))</f>
        <v/>
      </c>
      <c r="I28" s="5">
        <f>IF(A28="","",MOD(A28,3))</f>
        <v/>
      </c>
      <c r="J28" s="6">
        <f>IF(A28="","",IF(COUNTIF(A:A,A28)&gt;1,"중복!",""))</f>
        <v/>
      </c>
      <c r="K28" s="3" t="inlineStr">
        <is>
          <t>Death Light 를 쓸 때마다 중첩이 하나 쌓여 자신이 주는 피해가 중첩당 4% 오른다.^최대 *0/2/3/4/5/6* 중첩, 12초 유지.^5포인트를 채우면 Death Light 를 두 번 써야 재사용 대기에 들어간다.^Death Light 를 찍어야 열린다.</t>
        </is>
      </c>
    </row>
    <row r="29">
      <c r="A29" s="2" t="n">
        <v>31</v>
      </c>
      <c r="B29" s="3" t="inlineStr">
        <is>
          <t>Undead Harvest</t>
        </is>
      </c>
      <c r="C29" s="4" t="n">
        <v>5</v>
      </c>
      <c r="D29" s="4" t="n">
        <v>55</v>
      </c>
      <c r="E29" s="2" t="n">
        <v>8</v>
      </c>
      <c r="F29" s="3" t="inlineStr">
        <is>
          <t>55제</t>
        </is>
      </c>
      <c r="G29" s="5">
        <f>IF(A29="","",IF(A29&lt;15,"좌측",IF(A29&lt;30,"중간","우측")))</f>
        <v/>
      </c>
      <c r="H29" s="5">
        <f>IF(A29="","",INT(MOD(A29,15)/3))</f>
        <v/>
      </c>
      <c r="I29" s="5">
        <f>IF(A29="","",MOD(A29,3))</f>
        <v/>
      </c>
      <c r="J29" s="6">
        <f>IF(A29="","",IF(COUNTIF(A:A,A29)&gt;1,"중복!",""))</f>
        <v/>
      </c>
      <c r="K29" s="3" t="inlineStr">
        <is>
          <t>파리가 보스가 아닌 적을 *0/1/2/3/4/5*% 확률로 즉사시킨다. 그 파리는 사라진다.^보스에게는 대신 파리 피해가 *0/10/20/30/40/50*% 늘어난다.^5포인트를 채우면 파리가 보스를 때릴 때 4% 확률로 Death Attack 을 함께 쓴다.^Empowered Undead Fly 를 찍어야 열린다.</t>
        </is>
      </c>
    </row>
    <row r="30">
      <c r="A30" s="2" t="n">
        <v>33</v>
      </c>
      <c r="B30" s="3" t="inlineStr">
        <is>
          <t>Soul Attunement</t>
        </is>
      </c>
      <c r="C30" s="4" t="n">
        <v>5</v>
      </c>
      <c r="D30" s="4" t="n">
        <v>55</v>
      </c>
      <c r="E30" s="2" t="n">
        <v>24</v>
      </c>
      <c r="F30" s="3" t="inlineStr">
        <is>
          <t>55제</t>
        </is>
      </c>
      <c r="G30" s="5">
        <f>IF(A30="","",IF(A30&lt;15,"좌측",IF(A30&lt;30,"중간","우측")))</f>
        <v/>
      </c>
      <c r="H30" s="5">
        <f>IF(A30="","",INT(MOD(A30,15)/3))</f>
        <v/>
      </c>
      <c r="I30" s="5">
        <f>IF(A30="","",MOD(A30,3))</f>
        <v/>
      </c>
      <c r="J30" s="6">
        <f>IF(A30="","",IF(COUNTIF(A:A,A30)&gt;1,"중복!",""))</f>
        <v/>
      </c>
      <c r="K30" s="3" t="inlineStr">
        <is>
          <t>Karma 의 영혼이 주는 피해가 *0/10/20/30/40/50*% 늘어난다.^5포인트를 채우면 흩어질 때 3 몫이 더 붙는다.^Empowered Karma 를 찍어야 열린다.</t>
        </is>
      </c>
    </row>
    <row r="31">
      <c r="A31" s="2" t="n">
        <v>34</v>
      </c>
      <c r="B31" s="3" t="inlineStr">
        <is>
          <t>Grand Sacrifice</t>
        </is>
      </c>
      <c r="C31" s="4" t="n">
        <v>5</v>
      </c>
      <c r="D31" s="4" t="n">
        <v>55</v>
      </c>
      <c r="E31" s="2" t="n">
        <v>26</v>
      </c>
      <c r="F31" s="3" t="inlineStr">
        <is>
          <t>55제</t>
        </is>
      </c>
      <c r="G31" s="5">
        <f>IF(A31="","",IF(A31&lt;15,"좌측",IF(A31&lt;30,"중간","우측")))</f>
        <v/>
      </c>
      <c r="H31" s="5">
        <f>IF(A31="","",INT(MOD(A31,15)/3))</f>
        <v/>
      </c>
      <c r="I31" s="5">
        <f>IF(A31="","",MOD(A31,3))</f>
        <v/>
      </c>
      <c r="J31" s="6">
        <f>IF(A31="","",IF(COUNTIF(A:A,A31)&gt;1,"중복!",""))</f>
        <v/>
      </c>
      <c r="K31" s="3" t="inlineStr">
        <is>
          <t>Soul Sacrifice 의 피해가 *0/10/20/30/40/50*% 늘고 반경이 포인트당 50 넓어진다.^5포인트를 채우면 Soul Sacrifice 가 해골 전사 2기를 새로 세운다.^Empowered Soul Sacrifice 를 찍어야 열린다.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7" customWidth="1" min="3" max="3"/>
    <col width="17" customWidth="1" min="4" max="4"/>
    <col width="4" customWidth="1" min="5" max="5"/>
    <col width="17" customWidth="1" min="6" max="6"/>
    <col width="17" customWidth="1" min="7" max="7"/>
    <col width="17" customWidth="1" min="8" max="8"/>
    <col width="4" customWidth="1" min="9" max="9"/>
    <col width="17" customWidth="1" min="10" max="10"/>
    <col width="17" customWidth="1" min="11" max="11"/>
    <col width="17" customWidth="1" min="12" max="12"/>
    <col width="4" customWidth="1" min="13" max="13"/>
  </cols>
  <sheetData>
    <row r="1">
      <c r="A1" s="7" t="inlineStr">
        <is>
          <t>지금 배치 — 「탤런트」 시트의 칸 번호를 고치면 여기가 바뀐다</t>
        </is>
      </c>
    </row>
    <row r="3">
      <c r="B3" s="8" t="inlineStr">
        <is>
          <t>좌측 (0~14) · 액티브</t>
        </is>
      </c>
      <c r="F3" s="8" t="inlineStr">
        <is>
          <t>중간 (15~29) · 패시브</t>
        </is>
      </c>
      <c r="J3" s="8" t="inlineStr">
        <is>
          <t>우측 (30~44) · 55제</t>
        </is>
      </c>
    </row>
    <row r="4">
      <c r="A4" s="7" t="inlineStr">
        <is>
          <t>0행</t>
        </is>
      </c>
      <c r="B4" s="9" t="n">
        <v>0</v>
      </c>
      <c r="C4" s="9" t="n">
        <v>1</v>
      </c>
      <c r="D4" s="9" t="n">
        <v>2</v>
      </c>
      <c r="F4" s="9" t="n">
        <v>15</v>
      </c>
      <c r="G4" s="9" t="n">
        <v>16</v>
      </c>
      <c r="H4" s="9" t="n">
        <v>17</v>
      </c>
      <c r="J4" s="9" t="n">
        <v>30</v>
      </c>
      <c r="K4" s="9" t="n">
        <v>31</v>
      </c>
      <c r="L4" s="9" t="n">
        <v>32</v>
      </c>
    </row>
    <row r="5">
      <c r="B5" s="10">
        <f>IFERROR(INDEX(탤런트!$B$2:$B$31,MATCH(0,탤런트!$A$2:$A$31,0)),"")</f>
        <v/>
      </c>
      <c r="C5" s="10">
        <f>IFERROR(INDEX(탤런트!$B$2:$B$31,MATCH(1,탤런트!$A$2:$A$31,0)),"")</f>
        <v/>
      </c>
      <c r="D5" s="10">
        <f>IFERROR(INDEX(탤런트!$B$2:$B$31,MATCH(2,탤런트!$A$2:$A$31,0)),"")</f>
        <v/>
      </c>
      <c r="F5" s="10">
        <f>IFERROR(INDEX(탤런트!$B$2:$B$31,MATCH(15,탤런트!$A$2:$A$31,0)),"")</f>
        <v/>
      </c>
      <c r="G5" s="10">
        <f>IFERROR(INDEX(탤런트!$B$2:$B$31,MATCH(16,탤런트!$A$2:$A$31,0)),"")</f>
        <v/>
      </c>
      <c r="H5" s="10">
        <f>IFERROR(INDEX(탤런트!$B$2:$B$31,MATCH(17,탤런트!$A$2:$A$31,0)),"")</f>
        <v/>
      </c>
      <c r="J5" s="10">
        <f>IFERROR(INDEX(탤런트!$B$2:$B$31,MATCH(30,탤런트!$A$2:$A$31,0)),"")</f>
        <v/>
      </c>
      <c r="K5" s="10">
        <f>IFERROR(INDEX(탤런트!$B$2:$B$31,MATCH(31,탤런트!$A$2:$A$31,0)),"")</f>
        <v/>
      </c>
      <c r="L5" s="10">
        <f>IFERROR(INDEX(탤런트!$B$2:$B$31,MATCH(32,탤런트!$A$2:$A$31,0)),"")</f>
        <v/>
      </c>
    </row>
    <row r="6">
      <c r="A6" s="7" t="inlineStr">
        <is>
          <t>1행</t>
        </is>
      </c>
      <c r="B6" s="9" t="n">
        <v>3</v>
      </c>
      <c r="C6" s="9" t="n">
        <v>4</v>
      </c>
      <c r="D6" s="9" t="n">
        <v>5</v>
      </c>
      <c r="F6" s="9" t="n">
        <v>18</v>
      </c>
      <c r="G6" s="9" t="n">
        <v>19</v>
      </c>
      <c r="H6" s="9" t="n">
        <v>20</v>
      </c>
      <c r="J6" s="9" t="n">
        <v>33</v>
      </c>
      <c r="K6" s="9" t="n">
        <v>34</v>
      </c>
      <c r="L6" s="9" t="n">
        <v>35</v>
      </c>
    </row>
    <row r="7">
      <c r="B7" s="10">
        <f>IFERROR(INDEX(탤런트!$B$2:$B$31,MATCH(3,탤런트!$A$2:$A$31,0)),"")</f>
        <v/>
      </c>
      <c r="C7" s="10">
        <f>IFERROR(INDEX(탤런트!$B$2:$B$31,MATCH(4,탤런트!$A$2:$A$31,0)),"")</f>
        <v/>
      </c>
      <c r="D7" s="10">
        <f>IFERROR(INDEX(탤런트!$B$2:$B$31,MATCH(5,탤런트!$A$2:$A$31,0)),"")</f>
        <v/>
      </c>
      <c r="F7" s="10">
        <f>IFERROR(INDEX(탤런트!$B$2:$B$31,MATCH(18,탤런트!$A$2:$A$31,0)),"")</f>
        <v/>
      </c>
      <c r="G7" s="10">
        <f>IFERROR(INDEX(탤런트!$B$2:$B$31,MATCH(19,탤런트!$A$2:$A$31,0)),"")</f>
        <v/>
      </c>
      <c r="H7" s="10">
        <f>IFERROR(INDEX(탤런트!$B$2:$B$31,MATCH(20,탤런트!$A$2:$A$31,0)),"")</f>
        <v/>
      </c>
      <c r="J7" s="10">
        <f>IFERROR(INDEX(탤런트!$B$2:$B$31,MATCH(33,탤런트!$A$2:$A$31,0)),"")</f>
        <v/>
      </c>
      <c r="K7" s="10">
        <f>IFERROR(INDEX(탤런트!$B$2:$B$31,MATCH(34,탤런트!$A$2:$A$31,0)),"")</f>
        <v/>
      </c>
      <c r="L7" s="10">
        <f>IFERROR(INDEX(탤런트!$B$2:$B$31,MATCH(35,탤런트!$A$2:$A$31,0)),"")</f>
        <v/>
      </c>
    </row>
    <row r="8">
      <c r="A8" s="7" t="inlineStr">
        <is>
          <t>2행</t>
        </is>
      </c>
      <c r="B8" s="9" t="n">
        <v>6</v>
      </c>
      <c r="C8" s="9" t="n">
        <v>7</v>
      </c>
      <c r="D8" s="9" t="n">
        <v>8</v>
      </c>
      <c r="F8" s="9" t="n">
        <v>21</v>
      </c>
      <c r="G8" s="9" t="n">
        <v>22</v>
      </c>
      <c r="H8" s="9" t="n">
        <v>23</v>
      </c>
      <c r="J8" s="9" t="n">
        <v>36</v>
      </c>
      <c r="K8" s="9" t="n">
        <v>37</v>
      </c>
      <c r="L8" s="9" t="n">
        <v>38</v>
      </c>
    </row>
    <row r="9">
      <c r="B9" s="10">
        <f>IFERROR(INDEX(탤런트!$B$2:$B$31,MATCH(6,탤런트!$A$2:$A$31,0)),"")</f>
        <v/>
      </c>
      <c r="C9" s="10">
        <f>IFERROR(INDEX(탤런트!$B$2:$B$31,MATCH(7,탤런트!$A$2:$A$31,0)),"")</f>
        <v/>
      </c>
      <c r="D9" s="10">
        <f>IFERROR(INDEX(탤런트!$B$2:$B$31,MATCH(8,탤런트!$A$2:$A$31,0)),"")</f>
        <v/>
      </c>
      <c r="F9" s="10">
        <f>IFERROR(INDEX(탤런트!$B$2:$B$31,MATCH(21,탤런트!$A$2:$A$31,0)),"")</f>
        <v/>
      </c>
      <c r="G9" s="10">
        <f>IFERROR(INDEX(탤런트!$B$2:$B$31,MATCH(22,탤런트!$A$2:$A$31,0)),"")</f>
        <v/>
      </c>
      <c r="H9" s="10">
        <f>IFERROR(INDEX(탤런트!$B$2:$B$31,MATCH(23,탤런트!$A$2:$A$31,0)),"")</f>
        <v/>
      </c>
      <c r="J9" s="10">
        <f>IFERROR(INDEX(탤런트!$B$2:$B$31,MATCH(36,탤런트!$A$2:$A$31,0)),"")</f>
        <v/>
      </c>
      <c r="K9" s="10">
        <f>IFERROR(INDEX(탤런트!$B$2:$B$31,MATCH(37,탤런트!$A$2:$A$31,0)),"")</f>
        <v/>
      </c>
      <c r="L9" s="10">
        <f>IFERROR(INDEX(탤런트!$B$2:$B$31,MATCH(38,탤런트!$A$2:$A$31,0)),"")</f>
        <v/>
      </c>
    </row>
    <row r="10">
      <c r="A10" s="7" t="inlineStr">
        <is>
          <t>3행</t>
        </is>
      </c>
      <c r="B10" s="9" t="n">
        <v>9</v>
      </c>
      <c r="C10" s="9" t="n">
        <v>10</v>
      </c>
      <c r="D10" s="9" t="n">
        <v>11</v>
      </c>
      <c r="F10" s="9" t="n">
        <v>24</v>
      </c>
      <c r="G10" s="9" t="n">
        <v>25</v>
      </c>
      <c r="H10" s="9" t="n">
        <v>26</v>
      </c>
      <c r="J10" s="9" t="n">
        <v>39</v>
      </c>
      <c r="K10" s="9" t="n">
        <v>40</v>
      </c>
      <c r="L10" s="9" t="n">
        <v>41</v>
      </c>
    </row>
    <row r="11">
      <c r="B11" s="10">
        <f>IFERROR(INDEX(탤런트!$B$2:$B$31,MATCH(9,탤런트!$A$2:$A$31,0)),"")</f>
        <v/>
      </c>
      <c r="C11" s="10">
        <f>IFERROR(INDEX(탤런트!$B$2:$B$31,MATCH(10,탤런트!$A$2:$A$31,0)),"")</f>
        <v/>
      </c>
      <c r="D11" s="10">
        <f>IFERROR(INDEX(탤런트!$B$2:$B$31,MATCH(11,탤런트!$A$2:$A$31,0)),"")</f>
        <v/>
      </c>
      <c r="F11" s="10">
        <f>IFERROR(INDEX(탤런트!$B$2:$B$31,MATCH(24,탤런트!$A$2:$A$31,0)),"")</f>
        <v/>
      </c>
      <c r="G11" s="10">
        <f>IFERROR(INDEX(탤런트!$B$2:$B$31,MATCH(25,탤런트!$A$2:$A$31,0)),"")</f>
        <v/>
      </c>
      <c r="H11" s="10">
        <f>IFERROR(INDEX(탤런트!$B$2:$B$31,MATCH(26,탤런트!$A$2:$A$31,0)),"")</f>
        <v/>
      </c>
      <c r="J11" s="10">
        <f>IFERROR(INDEX(탤런트!$B$2:$B$31,MATCH(39,탤런트!$A$2:$A$31,0)),"")</f>
        <v/>
      </c>
      <c r="K11" s="10">
        <f>IFERROR(INDEX(탤런트!$B$2:$B$31,MATCH(40,탤런트!$A$2:$A$31,0)),"")</f>
        <v/>
      </c>
      <c r="L11" s="10">
        <f>IFERROR(INDEX(탤런트!$B$2:$B$31,MATCH(41,탤런트!$A$2:$A$31,0)),"")</f>
        <v/>
      </c>
    </row>
    <row r="12">
      <c r="A12" s="7" t="inlineStr">
        <is>
          <t>4행</t>
        </is>
      </c>
      <c r="B12" s="9" t="n">
        <v>12</v>
      </c>
      <c r="C12" s="9" t="n">
        <v>13</v>
      </c>
      <c r="D12" s="9" t="n">
        <v>14</v>
      </c>
      <c r="F12" s="9" t="n">
        <v>27</v>
      </c>
      <c r="G12" s="9" t="n">
        <v>28</v>
      </c>
      <c r="H12" s="9" t="n">
        <v>29</v>
      </c>
      <c r="J12" s="9" t="n">
        <v>42</v>
      </c>
      <c r="K12" s="9" t="n">
        <v>43</v>
      </c>
      <c r="L12" s="9" t="n">
        <v>44</v>
      </c>
    </row>
    <row r="13">
      <c r="B13" s="10">
        <f>IFERROR(INDEX(탤런트!$B$2:$B$31,MATCH(12,탤런트!$A$2:$A$31,0)),"")</f>
        <v/>
      </c>
      <c r="C13" s="10">
        <f>IFERROR(INDEX(탤런트!$B$2:$B$31,MATCH(13,탤런트!$A$2:$A$31,0)),"")</f>
        <v/>
      </c>
      <c r="D13" s="10">
        <f>IFERROR(INDEX(탤런트!$B$2:$B$31,MATCH(14,탤런트!$A$2:$A$31,0)),"")</f>
        <v/>
      </c>
      <c r="F13" s="10">
        <f>IFERROR(INDEX(탤런트!$B$2:$B$31,MATCH(27,탤런트!$A$2:$A$31,0)),"")</f>
        <v/>
      </c>
      <c r="G13" s="10">
        <f>IFERROR(INDEX(탤런트!$B$2:$B$31,MATCH(28,탤런트!$A$2:$A$31,0)),"")</f>
        <v/>
      </c>
      <c r="H13" s="10">
        <f>IFERROR(INDEX(탤런트!$B$2:$B$31,MATCH(29,탤런트!$A$2:$A$31,0)),"")</f>
        <v/>
      </c>
      <c r="J13" s="10">
        <f>IFERROR(INDEX(탤런트!$B$2:$B$31,MATCH(42,탤런트!$A$2:$A$31,0)),"")</f>
        <v/>
      </c>
      <c r="K13" s="10">
        <f>IFERROR(INDEX(탤런트!$B$2:$B$31,MATCH(43,탤런트!$A$2:$A$31,0)),"")</f>
        <v/>
      </c>
      <c r="L13" s="10">
        <f>IFERROR(INDEX(탤런트!$B$2:$B$31,MATCH(44,탤런트!$A$2:$A$31,0)),"")</f>
        <v/>
      </c>
    </row>
  </sheetData>
  <mergeCells count="3">
    <mergeCell ref="F3:H3"/>
    <mergeCell ref="B3:D3"/>
    <mergeCell ref="J3:L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1" t="inlineStr">
        <is>
          <t>네크로맨서 탤런트 배치 — 고치는 법</t>
        </is>
      </c>
    </row>
    <row r="2">
      <c r="A2" t="inlineStr"/>
    </row>
    <row r="3">
      <c r="A3" t="inlineStr">
        <is>
          <t>1. 「탤런트」 시트에서 **노란 칸만** 고친다 — `칸`(위치)과 `선행`.</t>
        </is>
      </c>
    </row>
    <row r="4">
      <c r="A4" t="inlineStr">
        <is>
          <t xml:space="preserve">   회색 칸(기둥·행·열·중복)은 수식이라 저절로 따라온다.</t>
        </is>
      </c>
    </row>
    <row r="5">
      <c r="A5" t="inlineStr">
        <is>
          <t>2. 「격자」 시트에서 결과를 눈으로 확인한다.</t>
        </is>
      </c>
    </row>
    <row r="6">
      <c r="A6" t="inlineStr">
        <is>
          <t>3. 저장한 뒤 나에게 말해 주면 맵에 반영한다.</t>
        </is>
      </c>
    </row>
    <row r="7">
      <c r="A7" t="inlineStr"/>
    </row>
    <row r="8">
      <c r="A8" s="11" t="inlineStr">
        <is>
          <t>격자 규칙 (맵에서 확인한 것)</t>
        </is>
      </c>
    </row>
    <row r="9">
      <c r="A9" t="inlineStr">
        <is>
          <t xml:space="preserve">   0~14 좌측 · 15~29 중간 · 30~44 우측. 각 기둥은 3칸 x 5줄.</t>
        </is>
      </c>
    </row>
    <row r="10">
      <c r="A10" t="inlineStr">
        <is>
          <t xml:space="preserve">   한 기둥 안에서 왼-&gt;오, 위-&gt;아래로 채운다. 예) 좌측 0행 = 0,1,2 / 1행 = 3,4,5</t>
        </is>
      </c>
    </row>
    <row r="11">
      <c r="A11" t="inlineStr"/>
    </row>
    <row r="12">
      <c r="A12" s="11" t="inlineStr">
        <is>
          <t>이 맵의 관습</t>
        </is>
      </c>
    </row>
    <row r="13">
      <c r="A13" t="inlineStr">
        <is>
          <t xml:space="preserve">   좌측 = 액티브(★스킬) · 중간 = 패시브 · 우측 = 55제</t>
        </is>
      </c>
    </row>
    <row r="14">
      <c r="A14" t="inlineStr">
        <is>
          <t xml:space="preserve">   지켜도 되고 안 지켜도 되지만, 다른 18직업이 전부 이 꼴이다.</t>
        </is>
      </c>
    </row>
    <row r="15">
      <c r="A15" t="inlineStr"/>
    </row>
    <row r="16">
      <c r="A16" s="11" t="inlineStr">
        <is>
          <t>주의</t>
        </is>
      </c>
    </row>
    <row r="17">
      <c r="A17" t="inlineStr">
        <is>
          <t xml:space="preserve">   · 칸 번호가 겹치면 「중복!」 이 뜬다. 그대로 두면 반영 못 한다.</t>
        </is>
      </c>
    </row>
    <row r="18">
      <c r="A18" t="inlineStr">
        <is>
          <t xml:space="preserve">   · 0~44 밖의 번호는 못 쓴다.</t>
        </is>
      </c>
    </row>
    <row r="19">
      <c r="A19" t="inlineStr">
        <is>
          <t xml:space="preserve">   · `선행` 도 칸 번호다 — 옮긴 칸을 가리키고 있으면 같이 고쳐야 한다.</t>
        </is>
      </c>
    </row>
    <row r="20">
      <c r="A20" t="inlineStr">
        <is>
          <t xml:space="preserve">   · 이름·최대·요구렙·설명을 고쳐도 반영 안 한다(위치 전용 양식이다).</t>
        </is>
      </c>
    </row>
    <row r="21">
      <c r="A21" t="inlineStr">
        <is>
          <t xml:space="preserve">     그건 말로 알려주면 따로 처리한다.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2026-09-06T08:15:01Z</dcterms:created>
  <dcterms:modified xsi:type="dcterms:W3CDTF">2026-09-06T08:15:01Z</dcterms:modified>
</cp:coreProperties>
</file>